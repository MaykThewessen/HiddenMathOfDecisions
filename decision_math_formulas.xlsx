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1 - Expected Value" sheetId="2" state="visible" r:id="rId2"/>
    <sheet xmlns:r="http://schemas.openxmlformats.org/officeDocument/2006/relationships" name="2 - Base Rate Neglect" sheetId="3" state="visible" r:id="rId3"/>
    <sheet xmlns:r="http://schemas.openxmlformats.org/officeDocument/2006/relationships" name="3 - Sunk Cost Fallacy" sheetId="4" state="visible" r:id="rId4"/>
    <sheet xmlns:r="http://schemas.openxmlformats.org/officeDocument/2006/relationships" name="4 - Bayesian Thinking" sheetId="5" state="visible" r:id="rId5"/>
    <sheet xmlns:r="http://schemas.openxmlformats.org/officeDocument/2006/relationships" name="5 - Survivorship Bias" sheetId="6" state="visible" r:id="rId6"/>
    <sheet xmlns:r="http://schemas.openxmlformats.org/officeDocument/2006/relationships" name="6 - Kelly Criter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$#,##0.00"/>
    <numFmt numFmtId="166" formatCode="0.000%"/>
    <numFmt numFmtId="167" formatCode="0.0%"/>
    <numFmt numFmtId="168" formatCode="0.0000%"/>
    <numFmt numFmtId="169" formatCode="0.0"/>
  </numFmts>
  <fonts count="17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  <sz val="11"/>
    </font>
    <font>
      <b val="1"/>
      <sz val="11"/>
    </font>
    <font>
      <b val="1"/>
      <color rgb="00FFFFFF"/>
      <sz val="12"/>
    </font>
    <font>
      <b val="1"/>
      <color rgb="00375623"/>
      <sz val="11"/>
    </font>
    <font>
      <b val="1"/>
    </font>
    <font>
      <color rgb="00999999"/>
      <sz val="9"/>
    </font>
    <font>
      <b val="1"/>
      <color rgb="00C00000"/>
      <sz val="11"/>
    </font>
    <font>
      <i val="1"/>
      <color rgb="00C00000"/>
    </font>
    <font>
      <b val="1"/>
      <color rgb="002F5496"/>
      <sz val="11"/>
    </font>
    <font>
      <i val="1"/>
      <color rgb="00666666"/>
    </font>
    <font>
      <i val="1"/>
      <color rgb="002F5496"/>
    </font>
    <font>
      <b val="1"/>
      <color rgb="002F5496"/>
      <sz val="16"/>
    </font>
    <font>
      <b val="1"/>
      <color rgb="002F5496"/>
      <sz val="13"/>
    </font>
    <font>
      <b val="1"/>
      <color rgb="00C00000"/>
    </font>
    <font>
      <i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3" fillId="0" borderId="0" pivotButton="0" quotePrefix="0" xfId="0"/>
    <xf numFmtId="0" fontId="2" fillId="0" borderId="0" pivotButton="0" quotePrefix="0" xfId="0"/>
    <xf numFmtId="0" fontId="14" fillId="0" borderId="0" pivotButton="0" quotePrefix="0" xfId="0"/>
    <xf numFmtId="0" fontId="3" fillId="0" borderId="1" pivotButton="0" quotePrefix="0" xfId="0"/>
    <xf numFmtId="0" fontId="0" fillId="3" borderId="1" pivotButton="0" quotePrefix="0" xfId="0"/>
    <xf numFmtId="0" fontId="4" fillId="2" borderId="1" applyAlignment="1" pivotButton="0" quotePrefix="0" xfId="0">
      <alignment horizontal="center"/>
    </xf>
    <xf numFmtId="9" fontId="0" fillId="3" borderId="1" pivotButton="0" quotePrefix="0" xfId="0"/>
    <xf numFmtId="164" fontId="0" fillId="3" borderId="1" pivotButton="0" quotePrefix="0" xfId="0"/>
    <xf numFmtId="164" fontId="5" fillId="4" borderId="1" pivotButton="0" quotePrefix="0" xfId="0"/>
    <xf numFmtId="9" fontId="0" fillId="0" borderId="1" pivotButton="0" quotePrefix="0" xfId="0"/>
    <xf numFmtId="0" fontId="15" fillId="0" borderId="0" pivotButton="0" quotePrefix="0" xfId="0"/>
    <xf numFmtId="167" fontId="0" fillId="3" borderId="1" pivotButton="0" quotePrefix="0" xfId="0"/>
    <xf numFmtId="0" fontId="7" fillId="0" borderId="0" pivotButton="0" quotePrefix="0" xfId="0"/>
    <xf numFmtId="0" fontId="5" fillId="4" borderId="1" pivotButton="0" quotePrefix="0" xfId="0"/>
    <xf numFmtId="0" fontId="16" fillId="0" borderId="0" pivotButton="0" quotePrefix="0" xfId="0"/>
    <xf numFmtId="167" fontId="5" fillId="4" borderId="1" pivotButton="0" quotePrefix="0" xfId="0"/>
    <xf numFmtId="169" fontId="0" fillId="3" borderId="1" pivotButton="0" quotePrefix="0" xfId="0"/>
    <xf numFmtId="0" fontId="1" fillId="0" borderId="0" pivotButton="0" quotePrefix="0" xfId="0"/>
    <xf numFmtId="0" fontId="3" fillId="0" borderId="0" pivotButton="0" quotePrefix="0" xfId="0"/>
    <xf numFmtId="165" fontId="0" fillId="0" borderId="1" pivotButton="0" quotePrefix="0" xfId="0"/>
    <xf numFmtId="165" fontId="5" fillId="4" borderId="1" pivotButton="0" quotePrefix="0" xfId="0"/>
    <xf numFmtId="164" fontId="0" fillId="0" borderId="1" pivotButton="0" quotePrefix="0" xfId="0"/>
    <xf numFmtId="0" fontId="6" fillId="0" borderId="0" pivotButton="0" quotePrefix="0" xfId="0"/>
    <xf numFmtId="164" fontId="0" fillId="0" borderId="0" pivotButton="0" quotePrefix="0" xfId="0"/>
    <xf numFmtId="166" fontId="0" fillId="3" borderId="1" pivotButton="0" quotePrefix="0" xfId="0"/>
    <xf numFmtId="2" fontId="0" fillId="0" borderId="1" pivotButton="0" quotePrefix="0" xfId="0"/>
    <xf numFmtId="167" fontId="8" fillId="5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7" fontId="0" fillId="0" borderId="0" pivotButton="0" quotePrefix="0" xfId="0"/>
    <xf numFmtId="168" fontId="5" fillId="4" borderId="1" pivotButton="0" quotePrefix="0" xfId="0"/>
    <xf numFmtId="3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Value: Option A vs B</a:t>
            </a:r>
          </a:p>
        </rich>
      </tx>
    </title>
    <plotArea>
      <barChart>
        <barDir val="col"/>
        <grouping val="clustered"/>
        <ser>
          <idx val="0"/>
          <order val="0"/>
          <tx>
            <v>Expected Value</v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'1 - Expected Value'!$A$23:$A$24</f>
            </numRef>
          </cat>
          <val>
            <numRef>
              <f>'1 - Expected Value'!$B$23:$B$24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Value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Positive Test Results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7562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'2 - Base Rate Neglect'!$A$21:$A$22</f>
            </numRef>
          </cat>
          <val>
            <numRef>
              <f>'2 - Base Rate Neglect'!$B$21:$B$22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 per 1,000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Belief Update Progression</a:t>
            </a:r>
          </a:p>
        </rich>
      </tx>
    </title>
    <plotArea>
      <lineChart>
        <grouping val="standard"/>
        <ser>
          <idx val="0"/>
          <order val="0"/>
          <tx>
            <v>P(quit)</v>
          </tx>
          <spPr>
            <a:ln xmlns:a="http://schemas.openxmlformats.org/drawingml/2006/main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'4 - Bayesian Thinking'!$A$16:$A$21</f>
            </numRef>
          </cat>
          <val>
            <numRef>
              <f>'4 - Bayesian Thinking'!$B$16:$B$21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Evidence 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P(quitting)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What You See vs Reality (Crypto)</a:t>
            </a:r>
          </a:p>
        </rich>
      </tx>
    </title>
    <plotArea>
      <barChart>
        <barDir val="col"/>
        <grouping val="clustered"/>
        <ser>
          <idx val="0"/>
          <order val="0"/>
          <tx>
            <v>People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7562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'5 - Survivorship Bias'!$A$26:$A$27</f>
            </numRef>
          </cat>
          <val>
            <numRef>
              <f>'5 - Survivorship Bias'!$B$26:$B$27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 Size by Kelly Fraction</a:t>
            </a:r>
          </a:p>
        </rich>
      </tx>
    </title>
    <plotArea>
      <barChart>
        <barDir val="col"/>
        <grouping val="clustered"/>
        <ser>
          <idx val="0"/>
          <order val="0"/>
          <tx>
            <v>Bet Size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75623"/>
              </a:solidFill>
              <a:ln xmlns:a="http://schemas.openxmlformats.org/drawingml/2006/main">
                <a:prstDash val="solid"/>
              </a:ln>
            </spPr>
          </dPt>
          <cat>
            <numRef>
              <f>'6 - Kelly Criterion'!$A$24:$A$26</f>
            </numRef>
          </cat>
          <val>
            <numRef>
              <f>'6 - Kelly Criterion'!$B$24:$B$26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Bet Size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DECISION DASHBOARD</t>
        </is>
      </c>
    </row>
    <row r="2">
      <c r="A2" s="2" t="inlineStr">
        <is>
          <t>Enter your scenario below. All 6 models run automatically.</t>
        </is>
      </c>
    </row>
    <row r="4">
      <c r="A4" s="3" t="inlineStr">
        <is>
          <t>YOUR DECISION</t>
        </is>
      </c>
    </row>
    <row r="6">
      <c r="A6" s="4" t="inlineStr">
        <is>
          <t>Decision name</t>
        </is>
      </c>
      <c r="B6" s="5" t="inlineStr">
        <is>
          <t>Example: Take startup offer</t>
        </is>
      </c>
    </row>
    <row r="8">
      <c r="A8" s="4" t="inlineStr">
        <is>
          <t>OUTCOMES (up to 4)</t>
        </is>
      </c>
    </row>
    <row r="9">
      <c r="B9" s="6" t="inlineStr">
        <is>
          <t>Description</t>
        </is>
      </c>
      <c r="C9" s="6" t="inlineStr">
        <is>
          <t>Probability</t>
        </is>
      </c>
      <c r="D9" s="6" t="inlineStr">
        <is>
          <t>Payoff ($)</t>
        </is>
      </c>
      <c r="E9" s="6" t="inlineStr">
        <is>
          <t>Weighted</t>
        </is>
      </c>
    </row>
    <row r="10">
      <c r="A10" s="4" t="inlineStr">
        <is>
          <t>Outcome 1</t>
        </is>
      </c>
      <c r="B10" s="5" t="inlineStr">
        <is>
          <t>Best case</t>
        </is>
      </c>
      <c r="C10" s="7" t="n">
        <v>0.3</v>
      </c>
      <c r="D10" s="8" t="n">
        <v>300000</v>
      </c>
      <c r="E10" s="9">
        <f>C10*D10</f>
        <v/>
      </c>
    </row>
    <row r="11">
      <c r="A11" s="4" t="inlineStr">
        <is>
          <t>Outcome 2</t>
        </is>
      </c>
      <c r="B11" s="5" t="inlineStr">
        <is>
          <t>Good case</t>
        </is>
      </c>
      <c r="C11" s="7" t="n">
        <v>0.3</v>
      </c>
      <c r="D11" s="8" t="n">
        <v>180000</v>
      </c>
      <c r="E11" s="9">
        <f>C11*D11</f>
        <v/>
      </c>
    </row>
    <row r="12">
      <c r="A12" s="4" t="inlineStr">
        <is>
          <t>Outcome 3</t>
        </is>
      </c>
      <c r="B12" s="5" t="inlineStr">
        <is>
          <t>Okay case</t>
        </is>
      </c>
      <c r="C12" s="7" t="n">
        <v>0.25</v>
      </c>
      <c r="D12" s="8" t="n">
        <v>100000</v>
      </c>
      <c r="E12" s="9">
        <f>C12*D12</f>
        <v/>
      </c>
    </row>
    <row r="13">
      <c r="A13" s="4" t="inlineStr">
        <is>
          <t>Outcome 4</t>
        </is>
      </c>
      <c r="B13" s="5" t="inlineStr">
        <is>
          <t>Worst case</t>
        </is>
      </c>
      <c r="C13" s="7" t="n">
        <v>0.15</v>
      </c>
      <c r="D13" s="8" t="n">
        <v>40000</v>
      </c>
      <c r="E13" s="9">
        <f>C13*D13</f>
        <v/>
      </c>
    </row>
    <row r="14">
      <c r="A14" s="4" t="inlineStr">
        <is>
          <t>Probabilities sum</t>
        </is>
      </c>
      <c r="C14" s="10">
        <f>SUM(C10:C13)</f>
        <v/>
      </c>
      <c r="D14" s="11">
        <f>IF(ABS(C14-1)&lt;0.001,"OK","WARNING: must = 100%")</f>
        <v/>
      </c>
    </row>
    <row r="16">
      <c r="A16" s="3" t="inlineStr">
        <is>
          <t>RESULTS</t>
        </is>
      </c>
    </row>
    <row r="18">
      <c r="A18" s="4" t="inlineStr">
        <is>
          <t>1. EXPECTED VALUE</t>
        </is>
      </c>
      <c r="B18" s="9">
        <f>SUM(E10:E13)</f>
        <v/>
      </c>
    </row>
    <row r="20">
      <c r="A20" s="4" t="inlineStr">
        <is>
          <t>2. BASE RATE CHECK</t>
        </is>
      </c>
    </row>
    <row r="21">
      <c r="A21" s="4" t="inlineStr">
        <is>
          <t xml:space="preserve">   Base rate for this type of decision</t>
        </is>
      </c>
      <c r="B21" s="12" t="n">
        <v>0.06</v>
      </c>
      <c r="C21" s="13" t="inlineStr">
        <is>
          <t>(e.g. 6% for startup success)</t>
        </is>
      </c>
    </row>
    <row r="22">
      <c r="A22" s="4" t="inlineStr">
        <is>
          <t xml:space="preserve">   Your estimate vs base rate</t>
        </is>
      </c>
      <c r="B22" s="14">
        <f>IF(C10&gt;B21,"You may be overconfident","Aligned with base rate")</f>
        <v/>
      </c>
    </row>
    <row r="24">
      <c r="A24" s="4" t="inlineStr">
        <is>
          <t>3. SUNK COST CHECK</t>
        </is>
      </c>
    </row>
    <row r="25">
      <c r="A25" s="4" t="inlineStr">
        <is>
          <t xml:space="preserve">   Already invested (ignore this!)</t>
        </is>
      </c>
      <c r="B25" s="8" t="n">
        <v>50000</v>
      </c>
      <c r="C25" s="15" t="inlineStr">
        <is>
          <t>This should NOT affect your decision</t>
        </is>
      </c>
    </row>
    <row r="27">
      <c r="A27" s="4" t="inlineStr">
        <is>
          <t>4. BAYESIAN CONFIDENCE</t>
        </is>
      </c>
    </row>
    <row r="28">
      <c r="A28" s="4" t="inlineStr">
        <is>
          <t xml:space="preserve">   Your prior P(success)</t>
        </is>
      </c>
      <c r="B28" s="7" t="n">
        <v>0.5</v>
      </c>
    </row>
    <row r="29">
      <c r="A29" s="4" t="inlineStr">
        <is>
          <t xml:space="preserve">   Strongest evidence for</t>
        </is>
      </c>
      <c r="B29" s="7" t="n">
        <v>0.8</v>
      </c>
    </row>
    <row r="30">
      <c r="A30" s="4" t="inlineStr">
        <is>
          <t xml:space="preserve">   Same evidence if false</t>
        </is>
      </c>
      <c r="B30" s="7" t="n">
        <v>0.2</v>
      </c>
    </row>
    <row r="31">
      <c r="A31" s="4" t="inlineStr">
        <is>
          <t xml:space="preserve">   Updated confidence</t>
        </is>
      </c>
      <c r="B31" s="16">
        <f>(B29*B28)/(B29*B28+B30*(1-B28))</f>
        <v/>
      </c>
    </row>
    <row r="33">
      <c r="A33" s="4" t="inlineStr">
        <is>
          <t>5. SURVIVORSHIP CHECK</t>
        </is>
      </c>
    </row>
    <row r="34">
      <c r="A34" s="4" t="inlineStr">
        <is>
          <t xml:space="preserve">   Success stories you've seen</t>
        </is>
      </c>
      <c r="B34" s="5" t="n">
        <v>10</v>
      </c>
    </row>
    <row r="35">
      <c r="A35" s="4" t="inlineStr">
        <is>
          <t xml:space="preserve">   Estimated total who tried</t>
        </is>
      </c>
      <c r="B35" s="5" t="n">
        <v>1000</v>
      </c>
    </row>
    <row r="36">
      <c r="A36" s="4" t="inlineStr">
        <is>
          <t xml:space="preserve">   Real success rate</t>
        </is>
      </c>
      <c r="B36" s="16">
        <f>B34/B35</f>
        <v/>
      </c>
    </row>
    <row r="38">
      <c r="A38" s="4" t="inlineStr">
        <is>
          <t>6. KELLY SIZING</t>
        </is>
      </c>
    </row>
    <row r="39">
      <c r="A39" s="4" t="inlineStr">
        <is>
          <t xml:space="preserve">   Your bankroll / resources</t>
        </is>
      </c>
      <c r="B39" s="8" t="n">
        <v>100000</v>
      </c>
    </row>
    <row r="40">
      <c r="A40" s="4" t="inlineStr">
        <is>
          <t xml:space="preserve">   Win multiplier (gain/risk)</t>
        </is>
      </c>
      <c r="B40" s="17" t="n">
        <v>2</v>
      </c>
    </row>
    <row r="41">
      <c r="A41" s="4" t="inlineStr">
        <is>
          <t xml:space="preserve">   Full Kelly allocation</t>
        </is>
      </c>
      <c r="B41" s="16">
        <f>MAX(0,(B31*B40-(1-B31))/B40)</f>
        <v/>
      </c>
    </row>
    <row r="42">
      <c r="A42" s="4" t="inlineStr">
        <is>
          <t xml:space="preserve">   Quarter Kelly (recommended)</t>
        </is>
      </c>
      <c r="B42" s="16">
        <f>B41*0.25</f>
        <v/>
      </c>
    </row>
    <row r="43">
      <c r="A43" s="4" t="inlineStr">
        <is>
          <t xml:space="preserve">   Recommended commitment ($)</t>
        </is>
      </c>
      <c r="B43" s="9">
        <f>B42*B39</f>
        <v/>
      </c>
    </row>
    <row r="45">
      <c r="A45" s="3" t="inlineStr">
        <is>
          <t>VERDICT</t>
        </is>
      </c>
    </row>
    <row r="46">
      <c r="A46" s="4" t="inlineStr">
        <is>
          <t>Expected Value</t>
        </is>
      </c>
      <c r="B46" s="9">
        <f>B18</f>
        <v/>
      </c>
    </row>
    <row r="47">
      <c r="A47" s="4" t="inlineStr">
        <is>
          <t>Bayesian Confidence</t>
        </is>
      </c>
      <c r="B47" s="16">
        <f>B31</f>
        <v/>
      </c>
    </row>
    <row r="48">
      <c r="A48" s="4" t="inlineStr">
        <is>
          <t>Recommended Bet Size</t>
        </is>
      </c>
      <c r="B48" s="9">
        <f>B43</f>
        <v/>
      </c>
    </row>
    <row r="49">
      <c r="A49" s="4" t="inlineStr">
        <is>
          <t>Go / No-Go</t>
        </is>
      </c>
      <c r="B49" s="14">
        <f>IF(AND(B18&gt;0,B31&gt;0.5,B41&gt;0),"GO","CAUTION - review inputs")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1. Expected Value</t>
        </is>
      </c>
    </row>
    <row r="2">
      <c r="A2" s="2" t="inlineStr">
        <is>
          <t>EV = Sum(probability x payoff)</t>
        </is>
      </c>
    </row>
    <row r="4">
      <c r="A4" s="19" t="inlineStr">
        <is>
          <t>Example: Coin Flip Bet</t>
        </is>
      </c>
    </row>
    <row r="5">
      <c r="A5" s="6" t="inlineStr">
        <is>
          <t>Outcome</t>
        </is>
      </c>
      <c r="B5" s="6" t="inlineStr">
        <is>
          <t>Probability</t>
        </is>
      </c>
      <c r="C5" s="6" t="inlineStr">
        <is>
          <t>Payoff ($)</t>
        </is>
      </c>
      <c r="D5" s="6" t="inlineStr">
        <is>
          <t>Weighted Value</t>
        </is>
      </c>
    </row>
    <row r="6">
      <c r="A6" s="4" t="inlineStr">
        <is>
          <t>Heads (win)</t>
        </is>
      </c>
      <c r="B6" s="7" t="n">
        <v>0.5</v>
      </c>
      <c r="C6" s="8" t="n">
        <v>150</v>
      </c>
      <c r="D6" s="20">
        <f>B6*C6</f>
        <v/>
      </c>
    </row>
    <row r="7">
      <c r="A7" s="4" t="inlineStr">
        <is>
          <t>Tails (lose)</t>
        </is>
      </c>
      <c r="B7" s="7" t="n">
        <v>0.5</v>
      </c>
      <c r="C7" s="8" t="n">
        <v>-100</v>
      </c>
      <c r="D7" s="20">
        <f>B7*C7</f>
        <v/>
      </c>
    </row>
    <row r="8">
      <c r="A8" s="4" t="inlineStr">
        <is>
          <t>EXPECTED VALUE</t>
        </is>
      </c>
      <c r="D8" s="21">
        <f>SUM(D6:D7)</f>
        <v/>
      </c>
    </row>
    <row r="9">
      <c r="A9" s="4" t="inlineStr">
        <is>
          <t>Over 100 flips</t>
        </is>
      </c>
      <c r="D9" s="9">
        <f>D8*100</f>
        <v/>
      </c>
    </row>
    <row r="11">
      <c r="A11" s="19" t="inlineStr">
        <is>
          <t>Example: Career Choice</t>
        </is>
      </c>
    </row>
    <row r="12">
      <c r="A12" s="6" t="inlineStr">
        <is>
          <t>Outcome</t>
        </is>
      </c>
      <c r="B12" s="6" t="inlineStr">
        <is>
          <t>Probability</t>
        </is>
      </c>
      <c r="C12" s="6" t="inlineStr">
        <is>
          <t>Payoff ($)</t>
        </is>
      </c>
      <c r="D12" s="6" t="inlineStr">
        <is>
          <t>Weighted Value</t>
        </is>
      </c>
    </row>
    <row r="13">
      <c r="A13" s="4" t="inlineStr">
        <is>
          <t>Option A: Safe job</t>
        </is>
      </c>
      <c r="B13" s="7" t="n">
        <v>1</v>
      </c>
      <c r="C13" s="8" t="n">
        <v>120000</v>
      </c>
      <c r="D13" s="22">
        <f>B13*C13</f>
        <v/>
      </c>
    </row>
    <row r="14">
      <c r="A14" s="4" t="inlineStr">
        <is>
          <t>EV of Option A</t>
        </is>
      </c>
      <c r="D14" s="9">
        <f>D13</f>
        <v/>
      </c>
    </row>
    <row r="16">
      <c r="A16" s="23" t="inlineStr">
        <is>
          <t>Option B: Startup</t>
        </is>
      </c>
    </row>
    <row r="17">
      <c r="A17" s="4" t="inlineStr">
        <is>
          <t>Startup succeeds</t>
        </is>
      </c>
      <c r="B17" s="7" t="n">
        <v>0.6</v>
      </c>
      <c r="C17" s="8" t="n">
        <v>250000</v>
      </c>
      <c r="D17" s="22">
        <f>B17*C17</f>
        <v/>
      </c>
    </row>
    <row r="18">
      <c r="A18" s="4" t="inlineStr">
        <is>
          <t>Startup fails</t>
        </is>
      </c>
      <c r="B18" s="7" t="n">
        <v>0.4</v>
      </c>
      <c r="C18" s="8" t="n">
        <v>70000</v>
      </c>
      <c r="D18" s="22">
        <f>B18*C18</f>
        <v/>
      </c>
    </row>
    <row r="19">
      <c r="A19" s="4" t="inlineStr">
        <is>
          <t>EV of Option B</t>
        </is>
      </c>
      <c r="D19" s="9">
        <f>SUM(D17:D18)</f>
        <v/>
      </c>
    </row>
    <row r="21">
      <c r="A21" s="4" t="inlineStr">
        <is>
          <t>B is better by:</t>
        </is>
      </c>
      <c r="D21" s="9">
        <f>D19-D14</f>
        <v/>
      </c>
    </row>
    <row r="23">
      <c r="A23" s="13" t="inlineStr">
        <is>
          <t>Option A</t>
        </is>
      </c>
      <c r="B23" s="24">
        <f>D14</f>
        <v/>
      </c>
    </row>
    <row r="24">
      <c r="A24" s="13" t="inlineStr">
        <is>
          <t>Option B</t>
        </is>
      </c>
      <c r="B24" s="24">
        <f>D19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8" t="inlineStr">
        <is>
          <t>2. Base Rate Neglect</t>
        </is>
      </c>
    </row>
    <row r="2">
      <c r="A2" s="2" t="inlineStr">
        <is>
          <t>P(A|B) = P(B|A) x P(A) / P(B)</t>
        </is>
      </c>
    </row>
    <row r="4">
      <c r="A4" s="19" t="inlineStr">
        <is>
          <t>Disease Test Example</t>
        </is>
      </c>
    </row>
    <row r="6">
      <c r="A6" s="4" t="inlineStr">
        <is>
          <t>Base rate (prevalence)</t>
        </is>
      </c>
      <c r="B6" s="25" t="n">
        <v>0.001</v>
      </c>
    </row>
    <row r="7">
      <c r="A7" s="4" t="inlineStr">
        <is>
          <t>Test sensitivity (true pos rate)</t>
        </is>
      </c>
      <c r="B7" s="7" t="n">
        <v>0.99</v>
      </c>
    </row>
    <row r="8">
      <c r="A8" s="4" t="inlineStr">
        <is>
          <t>False positive rate</t>
        </is>
      </c>
      <c r="B8" s="7" t="n">
        <v>0.01</v>
      </c>
    </row>
    <row r="10">
      <c r="A10" s="4" t="inlineStr">
        <is>
          <t>Per 1,000 people:</t>
        </is>
      </c>
    </row>
    <row r="11">
      <c r="A11" s="4" t="inlineStr">
        <is>
          <t xml:space="preserve">  True positives</t>
        </is>
      </c>
      <c r="B11" s="26">
        <f>B6*1000*B7</f>
        <v/>
      </c>
    </row>
    <row r="12">
      <c r="A12" s="4" t="inlineStr">
        <is>
          <t xml:space="preserve">  False positives</t>
        </is>
      </c>
      <c r="B12" s="26">
        <f>(1-B6)*1000*B8</f>
        <v/>
      </c>
    </row>
    <row r="13">
      <c r="A13" s="4" t="inlineStr">
        <is>
          <t xml:space="preserve">  Total positives</t>
        </is>
      </c>
      <c r="B13" s="26">
        <f>B11+B12</f>
        <v/>
      </c>
    </row>
    <row r="15">
      <c r="A15" s="4" t="inlineStr">
        <is>
          <t>P(actually sick | positive test)</t>
        </is>
      </c>
      <c r="B15" s="16">
        <f>B11/B13</f>
        <v/>
      </c>
    </row>
    <row r="16">
      <c r="A16" s="4" t="inlineStr">
        <is>
          <t>What most people guess</t>
        </is>
      </c>
      <c r="B16" s="27" t="n">
        <v>0.99</v>
      </c>
    </row>
    <row r="17">
      <c r="A17" s="4" t="inlineStr">
        <is>
          <t>How wrong they are</t>
        </is>
      </c>
      <c r="B17" s="27">
        <f>B16-B15</f>
        <v/>
      </c>
    </row>
    <row r="19">
      <c r="A19" s="28" t="inlineStr">
        <is>
          <t>The base rate dominates the result!</t>
        </is>
      </c>
    </row>
    <row r="21">
      <c r="A21" s="13" t="inlineStr">
        <is>
          <t>True Positives</t>
        </is>
      </c>
      <c r="B21">
        <f>B11</f>
        <v/>
      </c>
    </row>
    <row r="22">
      <c r="A22" s="13" t="inlineStr">
        <is>
          <t>False Positives</t>
        </is>
      </c>
      <c r="B22">
        <f>B12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8" t="inlineStr">
        <is>
          <t>3. Sunk Cost Fallacy</t>
        </is>
      </c>
    </row>
    <row r="2">
      <c r="A2" s="2" t="inlineStr">
        <is>
          <t>Only compare FUTURE costs and benefits</t>
        </is>
      </c>
    </row>
    <row r="4">
      <c r="A4" s="19" t="inlineStr">
        <is>
          <t>The Rational Decision Framework</t>
        </is>
      </c>
    </row>
    <row r="6">
      <c r="A6" s="4" t="inlineStr">
        <is>
          <t>Amount already invested (SUNK)</t>
        </is>
      </c>
      <c r="B6" s="8" t="n">
        <v>15</v>
      </c>
    </row>
    <row r="7">
      <c r="A7" s="4" t="inlineStr">
        <is>
          <t>Future cost to continue</t>
        </is>
      </c>
      <c r="B7" s="8" t="n">
        <v>0</v>
      </c>
    </row>
    <row r="8">
      <c r="A8" s="4" t="inlineStr">
        <is>
          <t>Future value if you CONTINUE</t>
        </is>
      </c>
      <c r="B8" s="8" t="n">
        <v>-5</v>
      </c>
    </row>
    <row r="9">
      <c r="A9" s="4" t="inlineStr">
        <is>
          <t>Future value if you QUIT</t>
        </is>
      </c>
      <c r="B9" s="8" t="n">
        <v>10</v>
      </c>
    </row>
    <row r="11">
      <c r="A11" s="4" t="inlineStr">
        <is>
          <t>Net future value: CONTINUE</t>
        </is>
      </c>
      <c r="B11" s="9">
        <f>B8-B7</f>
        <v/>
      </c>
    </row>
    <row r="12">
      <c r="A12" s="4" t="inlineStr">
        <is>
          <t>Net future value: QUIT</t>
        </is>
      </c>
      <c r="B12" s="9">
        <f>B9</f>
        <v/>
      </c>
    </row>
    <row r="14">
      <c r="A14" s="4" t="inlineStr">
        <is>
          <t>RATIONAL DECISION</t>
        </is>
      </c>
      <c r="B14" s="14">
        <f>IF(B11&gt;B12,"CONTINUE","QUIT")</f>
        <v/>
      </c>
    </row>
    <row r="16">
      <c r="A16" s="28" t="inlineStr">
        <is>
          <t>Note: The sunk cost is IRRELEVANT</t>
        </is>
      </c>
    </row>
    <row r="17">
      <c r="A17" s="28" t="inlineStr">
        <is>
          <t>to the forward-looking decision.</t>
        </is>
      </c>
    </row>
    <row r="19">
      <c r="A19" s="19" t="inlineStr">
        <is>
          <t>Try changing the sunk cost above.</t>
        </is>
      </c>
    </row>
    <row r="20">
      <c r="A20" s="29" t="inlineStr">
        <is>
          <t>Notice the decision NEVER changes!</t>
        </is>
      </c>
    </row>
    <row r="21">
      <c r="A21" s="30" t="inlineStr">
        <is>
          <t>That proves it's irrelevant.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4. Bayesian Thinking</t>
        </is>
      </c>
    </row>
    <row r="2">
      <c r="A2" s="2" t="inlineStr">
        <is>
          <t>P(H|E) = P(E|H) x P(H) / P(E)</t>
        </is>
      </c>
    </row>
    <row r="4">
      <c r="A4" s="19" t="inlineStr">
        <is>
          <t>Is your coworker about to quit?</t>
        </is>
      </c>
    </row>
    <row r="6">
      <c r="A6" s="6" t="inlineStr">
        <is>
          <t>Stage</t>
        </is>
      </c>
      <c r="B6" s="6" t="inlineStr">
        <is>
          <t>P(evidence|quit)</t>
        </is>
      </c>
      <c r="C6" s="6" t="inlineStr">
        <is>
          <t>P(evidence|stay)</t>
        </is>
      </c>
      <c r="D6" s="6" t="inlineStr">
        <is>
          <t>Updated P(quit)</t>
        </is>
      </c>
    </row>
    <row r="7">
      <c r="A7" s="4" t="inlineStr">
        <is>
          <t>Prior (before evidence)</t>
        </is>
      </c>
      <c r="D7" s="12" t="n">
        <v>0.1</v>
      </c>
    </row>
    <row r="8">
      <c r="A8" s="4" t="inlineStr">
        <is>
          <t>Evidence 1: LinkedIn update</t>
        </is>
      </c>
      <c r="B8" s="7" t="n">
        <v>0.7</v>
      </c>
      <c r="C8" s="7" t="n">
        <v>0.15</v>
      </c>
      <c r="D8" s="16">
        <f>(B8*D7)/(B8*D7+C8*(1-D7))</f>
        <v/>
      </c>
    </row>
    <row r="9">
      <c r="A9" s="4" t="inlineStr">
        <is>
          <t>Evidence 2: Outside phone calls</t>
        </is>
      </c>
      <c r="B9" s="7" t="n">
        <v>0.6</v>
      </c>
      <c r="C9" s="7" t="n">
        <v>0.1</v>
      </c>
      <c r="D9" s="16">
        <f>(B9*D8)/(B9*D8+C9*(1-D8))</f>
        <v/>
      </c>
    </row>
    <row r="10">
      <c r="A10" s="4" t="inlineStr">
        <is>
          <t>Evidence 3: Vague on projects</t>
        </is>
      </c>
      <c r="B10" s="7" t="n">
        <v>0.8</v>
      </c>
      <c r="C10" s="7" t="n">
        <v>0.2</v>
      </c>
      <c r="D10" s="16">
        <f>(B10*D9)/(B10*D9+C10*(1-D9))</f>
        <v/>
      </c>
    </row>
    <row r="11">
      <c r="A11" s="4" t="inlineStr">
        <is>
          <t>Evidence 4: (add your own)</t>
        </is>
      </c>
      <c r="B11" s="7" t="n">
        <v>0.5</v>
      </c>
      <c r="C11" s="7" t="n">
        <v>0.5</v>
      </c>
      <c r="D11" s="16">
        <f>(B11*D10)/(B11*D10+C11*(1-D10))</f>
        <v/>
      </c>
    </row>
    <row r="12">
      <c r="A12" s="4" t="inlineStr">
        <is>
          <t>Evidence 5: (add your own)</t>
        </is>
      </c>
      <c r="B12" s="7" t="n">
        <v>0.5</v>
      </c>
      <c r="C12" s="7" t="n">
        <v>0.5</v>
      </c>
      <c r="D12" s="16">
        <f>(B12*D11)/(B12*D11+C12*(1-D11))</f>
        <v/>
      </c>
    </row>
    <row r="14">
      <c r="A14" s="31" t="inlineStr">
        <is>
          <t>Each piece of evidence nudges — never jumps.</t>
        </is>
      </c>
    </row>
    <row r="16">
      <c r="A16" s="13" t="inlineStr">
        <is>
          <t>Prior</t>
        </is>
      </c>
      <c r="B16" s="32">
        <f>D7</f>
        <v/>
      </c>
    </row>
    <row r="17">
      <c r="A17" s="13" t="inlineStr">
        <is>
          <t>LinkedIn</t>
        </is>
      </c>
      <c r="B17" s="32">
        <f>D8</f>
        <v/>
      </c>
    </row>
    <row r="18">
      <c r="A18" s="13" t="inlineStr">
        <is>
          <t>Calls</t>
        </is>
      </c>
      <c r="B18" s="32">
        <f>D9</f>
        <v/>
      </c>
    </row>
    <row r="19">
      <c r="A19" s="13" t="inlineStr">
        <is>
          <t>Vague</t>
        </is>
      </c>
      <c r="B19" s="32">
        <f>D10</f>
        <v/>
      </c>
    </row>
    <row r="20">
      <c r="A20" s="13" t="inlineStr">
        <is>
          <t>Ev4</t>
        </is>
      </c>
      <c r="B20" s="32">
        <f>D11</f>
        <v/>
      </c>
    </row>
    <row r="21">
      <c r="A21" s="13" t="inlineStr">
        <is>
          <t>Ev5</t>
        </is>
      </c>
      <c r="B21" s="32">
        <f>D12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8" t="inlineStr">
        <is>
          <t>5. Survivorship Bias</t>
        </is>
      </c>
    </row>
    <row r="2">
      <c r="A2" s="2" t="inlineStr">
        <is>
          <t>Real rate = successes / total attempts</t>
        </is>
      </c>
    </row>
    <row r="4">
      <c r="A4" s="19" t="inlineStr">
        <is>
          <t>Crypto Twitter Example</t>
        </is>
      </c>
    </row>
    <row r="6">
      <c r="A6" s="4" t="inlineStr">
        <is>
          <t>Visible success stories</t>
        </is>
      </c>
      <c r="B6" s="5" t="n">
        <v>50</v>
      </c>
    </row>
    <row r="7">
      <c r="A7" s="4" t="inlineStr">
        <is>
          <t>Total attempts (estimated)</t>
        </is>
      </c>
      <c r="B7" s="5" t="n">
        <v>500</v>
      </c>
    </row>
    <row r="9">
      <c r="A9" s="4" t="inlineStr">
        <is>
          <t>Invisible failures</t>
        </is>
      </c>
      <c r="B9" s="14">
        <f>B7-B6</f>
        <v/>
      </c>
    </row>
    <row r="10">
      <c r="A10" s="4" t="inlineStr">
        <is>
          <t>REAL success rate</t>
        </is>
      </c>
      <c r="B10" s="16">
        <f>B6/B7</f>
        <v/>
      </c>
    </row>
    <row r="11">
      <c r="A11" s="4" t="inlineStr">
        <is>
          <t>What your feed shows</t>
        </is>
      </c>
      <c r="B11" s="27">
        <f>B6/(B6)</f>
        <v/>
      </c>
    </row>
    <row r="13">
      <c r="A13" s="19" t="inlineStr">
        <is>
          <t>Spotify Example</t>
        </is>
      </c>
    </row>
    <row r="14">
      <c r="A14" s="4" t="inlineStr">
        <is>
          <t>Daily uploads</t>
        </is>
      </c>
      <c r="B14" s="5" t="n">
        <v>90000</v>
      </c>
    </row>
    <row r="15">
      <c r="A15" s="4" t="inlineStr">
        <is>
          <t>Tracks that 'go viral'</t>
        </is>
      </c>
      <c r="B15" s="5" t="n">
        <v>10</v>
      </c>
    </row>
    <row r="16">
      <c r="A16" s="4" t="inlineStr">
        <is>
          <t>Real viral rate</t>
        </is>
      </c>
      <c r="B16" s="33">
        <f>B15/B14</f>
        <v/>
      </c>
    </row>
    <row r="18">
      <c r="A18" s="19" t="inlineStr">
        <is>
          <t>Restaurant Example</t>
        </is>
      </c>
    </row>
    <row r="19">
      <c r="A19" s="4" t="inlineStr">
        <is>
          <t>Restaurants opened</t>
        </is>
      </c>
      <c r="B19" s="5" t="n">
        <v>1000</v>
      </c>
    </row>
    <row r="20">
      <c r="A20" s="4" t="inlineStr">
        <is>
          <t>Survive 1 year</t>
        </is>
      </c>
      <c r="B20" s="34">
        <f>B19*0.4</f>
        <v/>
      </c>
    </row>
    <row r="21">
      <c r="A21" s="4" t="inlineStr">
        <is>
          <t>Survive 5 years</t>
        </is>
      </c>
      <c r="B21" s="34">
        <f>B19*0.2</f>
        <v/>
      </c>
    </row>
    <row r="22">
      <c r="A22" s="4" t="inlineStr">
        <is>
          <t>5-year survival rate</t>
        </is>
      </c>
      <c r="B22" s="16">
        <f>B21/B19</f>
        <v/>
      </c>
    </row>
    <row r="24">
      <c r="A24" s="28" t="inlineStr">
        <is>
          <t>Always look for the DENOMINATOR.</t>
        </is>
      </c>
    </row>
    <row r="26">
      <c r="A26" s="13" t="inlineStr">
        <is>
          <t>Visible (winners)</t>
        </is>
      </c>
      <c r="B26">
        <f>B6</f>
        <v/>
      </c>
    </row>
    <row r="27">
      <c r="A27" s="13" t="inlineStr">
        <is>
          <t>Invisible (losers)</t>
        </is>
      </c>
      <c r="B27">
        <f>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8" t="inlineStr">
        <is>
          <t>6. Kelly Criterion</t>
        </is>
      </c>
    </row>
    <row r="2">
      <c r="A2" s="2" t="inlineStr">
        <is>
          <t>f* = (p x b - q) / b</t>
        </is>
      </c>
    </row>
    <row r="4">
      <c r="A4" s="19" t="inlineStr">
        <is>
          <t>Inputs</t>
        </is>
      </c>
    </row>
    <row r="5">
      <c r="A5" s="4" t="inlineStr">
        <is>
          <t>Win probability (p)</t>
        </is>
      </c>
      <c r="B5" s="7" t="n">
        <v>0.6</v>
      </c>
    </row>
    <row r="6">
      <c r="A6" s="4" t="inlineStr">
        <is>
          <t>Loss probability (q = 1-p)</t>
        </is>
      </c>
      <c r="B6" s="10">
        <f>1-B5</f>
        <v/>
      </c>
    </row>
    <row r="7">
      <c r="A7" s="4" t="inlineStr">
        <is>
          <t>Win multiplier (b)</t>
        </is>
      </c>
      <c r="B7" s="17" t="n">
        <v>1</v>
      </c>
    </row>
    <row r="8">
      <c r="A8" s="4" t="inlineStr">
        <is>
          <t>Bankroll ($)</t>
        </is>
      </c>
      <c r="B8" s="8" t="n">
        <v>10000</v>
      </c>
    </row>
    <row r="10">
      <c r="A10" s="19" t="inlineStr">
        <is>
          <t>Results</t>
        </is>
      </c>
    </row>
    <row r="11">
      <c r="A11" s="4" t="inlineStr">
        <is>
          <t>Edge (p x b - q)</t>
        </is>
      </c>
      <c r="B11" s="16">
        <f>B5*B7-B6</f>
        <v/>
      </c>
    </row>
    <row r="12">
      <c r="A12" s="4" t="inlineStr">
        <is>
          <t>Full Kelly (f*)</t>
        </is>
      </c>
      <c r="B12" s="16">
        <f>MAX(0,(B5*B7-B6)/B7)</f>
        <v/>
      </c>
    </row>
    <row r="13">
      <c r="A13" s="4" t="inlineStr">
        <is>
          <t>Half Kelly</t>
        </is>
      </c>
      <c r="B13" s="16">
        <f>B12*0.5</f>
        <v/>
      </c>
    </row>
    <row r="14">
      <c r="A14" s="4" t="inlineStr">
        <is>
          <t>Quarter Kelly (recommended)</t>
        </is>
      </c>
      <c r="B14" s="16">
        <f>B12*0.25</f>
        <v/>
      </c>
    </row>
    <row r="16">
      <c r="A16" s="19" t="inlineStr">
        <is>
          <t>Bet Sizes ($)</t>
        </is>
      </c>
    </row>
    <row r="17">
      <c r="A17" s="4" t="inlineStr">
        <is>
          <t>Full Kelly</t>
        </is>
      </c>
      <c r="B17" s="9">
        <f>B12*B8</f>
        <v/>
      </c>
    </row>
    <row r="18">
      <c r="A18" s="4" t="inlineStr">
        <is>
          <t>Half Kelly</t>
        </is>
      </c>
      <c r="B18" s="9">
        <f>B13*B8</f>
        <v/>
      </c>
    </row>
    <row r="19">
      <c r="A19" s="4" t="inlineStr">
        <is>
          <t>Quarter Kelly</t>
        </is>
      </c>
      <c r="B19" s="9">
        <f>B14*B8</f>
        <v/>
      </c>
    </row>
    <row r="21">
      <c r="A21" s="28" t="inlineStr">
        <is>
          <t>Full Kelly is too aggressive for humans.</t>
        </is>
      </c>
    </row>
    <row r="22">
      <c r="A22" s="28" t="inlineStr">
        <is>
          <t>Use quarter to half Kelly in practice.</t>
        </is>
      </c>
    </row>
    <row r="24">
      <c r="A24" s="13" t="inlineStr">
        <is>
          <t>Full Kelly</t>
        </is>
      </c>
      <c r="B24">
        <f>B17</f>
        <v/>
      </c>
    </row>
    <row r="25">
      <c r="A25" s="13" t="inlineStr">
        <is>
          <t>Half Kelly</t>
        </is>
      </c>
      <c r="B25">
        <f>B18</f>
        <v/>
      </c>
    </row>
    <row r="26">
      <c r="A26" s="13" t="inlineStr">
        <is>
          <t>Quarter Kelly</t>
        </is>
      </c>
      <c r="B26">
        <f>B19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2026-03-09T19:49:19Z</dcterms:created>
  <dcterms:modified xmlns:dcterms="http://purl.org/dc/terms/" xmlns:xsi="http://www.w3.org/2001/XMLSchema-instance" xsi:type="dcterms:W3CDTF">2026-03-09T19:49:19Z</dcterms:modified>
</cp:coreProperties>
</file>